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HAMADOU\Desktop\Memoire Master\"/>
    </mc:Choice>
  </mc:AlternateContent>
  <bookViews>
    <workbookView xWindow="0" yWindow="0" windowWidth="25125" windowHeight="12180" activeTab="1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" i="2" l="1"/>
  <c r="J20" i="2"/>
  <c r="L19" i="2"/>
  <c r="F24" i="2"/>
</calcChain>
</file>

<file path=xl/sharedStrings.xml><?xml version="1.0" encoding="utf-8"?>
<sst xmlns="http://schemas.openxmlformats.org/spreadsheetml/2006/main" count="60" uniqueCount="55">
  <si>
    <t xml:space="preserve">Outil </t>
  </si>
  <si>
    <t>Métaphore simplifiée</t>
  </si>
  <si>
    <t>Point fort majeur</t>
  </si>
  <si>
    <t>Limite critique (La lacune)</t>
  </si>
  <si>
    <t>Docker</t>
  </si>
  <si>
    <t>Les briques de construction brutes</t>
  </si>
  <si>
    <t>Standard universel</t>
  </si>
  <si>
    <t>Nécessite une écriture manuelle et une expertise humaine pointue.</t>
  </si>
  <si>
    <t>Kompose</t>
  </si>
  <si>
    <t>Le traducteur de plans</t>
  </si>
  <si>
    <t>Passage à grande échelle</t>
  </si>
  <si>
    <t>Inutile si l'application n'est pas déjà pré-configurée.</t>
  </si>
  <si>
    <t>Move2Kube</t>
  </si>
  <si>
    <t>L'architecte pour gratte-ciel</t>
  </si>
  <si>
    <t>Automatisation ouverte</t>
  </si>
  <si>
    <t>Trop complexe, lourd pour des serveurs locaux.</t>
  </si>
  <si>
    <t>Migrate to Containers</t>
  </si>
  <si>
    <t>Le déménageur de luxe</t>
  </si>
  <si>
    <t>Puissance et tests rigoureux</t>
  </si>
  <si>
    <t>Très coûteux, enferme l'utilisateur chez un fournisseur Cloud unique.</t>
  </si>
  <si>
    <t>Catégorie de Dépense</t>
  </si>
  <si>
    <t>Description des Postes de Coût</t>
  </si>
  <si>
    <t>Coût Unitaire (FCFA)</t>
  </si>
  <si>
    <t>Quantité / Durée</t>
  </si>
  <si>
    <t>Coût Total (FCFA)</t>
  </si>
  <si>
    <t>1. Infrastructure &amp; Matériel</t>
  </si>
  <si>
    <t>Station de travail de développement (PC Core i7, 16 Go RAM pour l'exécution de l'environnement JavaFX et des builds Docker)</t>
  </si>
  <si>
    <t>650 000</t>
  </si>
  <si>
    <t>1 Unité</t>
  </si>
  <si>
    <t>2. Logiciels &amp; Licences</t>
  </si>
  <si>
    <t>0 (Open Source)</t>
  </si>
  <si>
    <t>-</t>
  </si>
  <si>
    <t>3. Ressources Humaines</t>
  </si>
  <si>
    <t>Phase d'Analyse statique/dynamique et Conception UML</t>
  </si>
  <si>
    <t>Forfait</t>
  </si>
  <si>
    <t>Phase de Développement de l'application JavaFX et intégration des scripts d'automatisation</t>
  </si>
  <si>
    <t>Phase de Tests d'équivalence fonctionnelle, déploiement et Recette applicative</t>
  </si>
  <si>
    <t>4. Maintenance &amp; Support</t>
  </si>
  <si>
    <t>Maintenance corrective (Résolution des bugs sur l'interface JavaFX ou les modules de parsing)</t>
  </si>
  <si>
    <t>1 an</t>
  </si>
  <si>
    <t>Support technique et mise à jour des templates d'images (Suivi des versions PHP/Laravel, Docker)</t>
  </si>
  <si>
    <t>5. Imprévus &amp; Contingences</t>
  </si>
  <si>
    <t>Provision pour l'ajustement du périmètre technique ou l'acquisition de stockage réseau supplémentaire (10%)</t>
  </si>
  <si>
    <t>COÛT TOTAL DU PROJET</t>
  </si>
  <si>
    <t>Montant Global Estimé (TTC)</t>
  </si>
  <si>
    <t>💡</t>
  </si>
  <si>
    <t>Serveur d'infrastructure local (Hébergement de la stack de supervision Prometheus/Grafana et l'application)</t>
  </si>
  <si>
    <t>3 500 000</t>
  </si>
  <si>
    <t>500 000 / an</t>
  </si>
  <si>
    <t>2 000 000</t>
  </si>
  <si>
    <t>250 000 / semaine</t>
  </si>
  <si>
    <t>2 000 000 / an</t>
  </si>
  <si>
    <t>500 000</t>
  </si>
  <si>
    <t>Moteurs et runtimes (Docker, Podman, Portainer, JavaFX OS, Prometheus, Grafana)</t>
  </si>
  <si>
    <t>12 semaines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</si>
</sst>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.5"/>
      <color theme="1"/>
      <name val="Arial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1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4" fillId="0" borderId="0" xfId="0" applyFont="1" applyAlignment="1">
      <alignment vertical="center"/>
    </xf>
    <xf numFmtId="0" fontId="5" fillId="0" borderId="7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6:J11"/>
  <sheetViews>
    <sheetView workbookViewId="0">
      <selection activeCell="G7" sqref="G7:J11"/>
    </sheetView>
  </sheetViews>
  <sheetFormatPr baseColWidth="10" defaultRowHeight="15" x14ac:dyDescent="0.25"/>
  <cols>
    <col min="7" max="7" width="22.5703125" bestFit="1" customWidth="1"/>
    <col min="8" max="8" width="22.140625" customWidth="1"/>
    <col min="10" max="10" width="21.7109375" customWidth="1"/>
  </cols>
  <sheetData>
    <row r="6" spans="7:10" ht="15.75" thickBot="1" x14ac:dyDescent="0.3"/>
    <row r="7" spans="7:10" ht="32.25" thickBot="1" x14ac:dyDescent="0.3">
      <c r="G7" s="1" t="s">
        <v>0</v>
      </c>
      <c r="H7" s="2" t="s">
        <v>1</v>
      </c>
      <c r="I7" s="2" t="s">
        <v>2</v>
      </c>
      <c r="J7" s="2" t="s">
        <v>3</v>
      </c>
    </row>
    <row r="8" spans="7:10" ht="63.75" thickBot="1" x14ac:dyDescent="0.3">
      <c r="G8" s="3" t="s">
        <v>4</v>
      </c>
      <c r="H8" s="4" t="s">
        <v>5</v>
      </c>
      <c r="I8" s="4" t="s">
        <v>6</v>
      </c>
      <c r="J8" s="4" t="s">
        <v>7</v>
      </c>
    </row>
    <row r="9" spans="7:10" ht="48" thickBot="1" x14ac:dyDescent="0.3">
      <c r="G9" s="3" t="s">
        <v>8</v>
      </c>
      <c r="H9" s="4" t="s">
        <v>9</v>
      </c>
      <c r="I9" s="4" t="s">
        <v>10</v>
      </c>
      <c r="J9" s="4" t="s">
        <v>11</v>
      </c>
    </row>
    <row r="10" spans="7:10" ht="48" thickBot="1" x14ac:dyDescent="0.3">
      <c r="G10" s="3" t="s">
        <v>12</v>
      </c>
      <c r="H10" s="4" t="s">
        <v>13</v>
      </c>
      <c r="I10" s="4" t="s">
        <v>14</v>
      </c>
      <c r="J10" s="4" t="s">
        <v>15</v>
      </c>
    </row>
    <row r="11" spans="7:10" ht="63" x14ac:dyDescent="0.25">
      <c r="G11" s="5" t="s">
        <v>16</v>
      </c>
      <c r="H11" s="6" t="s">
        <v>17</v>
      </c>
      <c r="I11" s="6" t="s">
        <v>18</v>
      </c>
      <c r="J11" s="6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0:L24"/>
  <sheetViews>
    <sheetView tabSelected="1" topLeftCell="A9" workbookViewId="0">
      <selection activeCell="I16" sqref="I16"/>
    </sheetView>
  </sheetViews>
  <sheetFormatPr baseColWidth="10" defaultRowHeight="15" x14ac:dyDescent="0.25"/>
  <cols>
    <col min="6" max="6" width="35.140625" customWidth="1"/>
    <col min="7" max="7" width="42.7109375" customWidth="1"/>
    <col min="8" max="8" width="21.5703125" customWidth="1"/>
    <col min="9" max="9" width="20.140625" customWidth="1"/>
    <col min="10" max="10" width="19.5703125" customWidth="1"/>
  </cols>
  <sheetData>
    <row r="10" spans="6:10" ht="15.75" thickBot="1" x14ac:dyDescent="0.3"/>
    <row r="11" spans="6:10" ht="29.25" thickBot="1" x14ac:dyDescent="0.3">
      <c r="F11" s="8" t="s">
        <v>20</v>
      </c>
      <c r="G11" s="8" t="s">
        <v>21</v>
      </c>
      <c r="H11" s="8" t="s">
        <v>22</v>
      </c>
      <c r="I11" s="8" t="s">
        <v>23</v>
      </c>
      <c r="J11" s="8" t="s">
        <v>24</v>
      </c>
    </row>
    <row r="12" spans="6:10" ht="43.5" thickBot="1" x14ac:dyDescent="0.3">
      <c r="F12" s="8" t="s">
        <v>25</v>
      </c>
      <c r="G12" s="9" t="s">
        <v>46</v>
      </c>
      <c r="H12" s="9" t="s">
        <v>47</v>
      </c>
      <c r="I12" s="9" t="s">
        <v>28</v>
      </c>
      <c r="J12" s="8">
        <v>3500000</v>
      </c>
    </row>
    <row r="13" spans="6:10" ht="57.75" thickBot="1" x14ac:dyDescent="0.3">
      <c r="F13" s="9"/>
      <c r="G13" s="9" t="s">
        <v>26</v>
      </c>
      <c r="H13" s="9" t="s">
        <v>27</v>
      </c>
      <c r="I13" s="9" t="s">
        <v>28</v>
      </c>
      <c r="J13" s="8">
        <v>650000</v>
      </c>
    </row>
    <row r="14" spans="6:10" ht="29.25" thickBot="1" x14ac:dyDescent="0.3">
      <c r="F14" s="8" t="s">
        <v>29</v>
      </c>
      <c r="G14" s="9" t="s">
        <v>53</v>
      </c>
      <c r="H14" s="9" t="s">
        <v>30</v>
      </c>
      <c r="I14" s="11" t="s">
        <v>31</v>
      </c>
      <c r="J14" s="8">
        <v>0</v>
      </c>
    </row>
    <row r="15" spans="6:10" ht="29.25" thickBot="1" x14ac:dyDescent="0.3">
      <c r="F15" s="8" t="s">
        <v>32</v>
      </c>
      <c r="G15" s="9" t="s">
        <v>33</v>
      </c>
      <c r="H15" s="9" t="s">
        <v>49</v>
      </c>
      <c r="I15" s="9" t="s">
        <v>34</v>
      </c>
      <c r="J15" s="8">
        <v>2000000</v>
      </c>
    </row>
    <row r="16" spans="6:10" ht="43.5" thickBot="1" x14ac:dyDescent="0.3">
      <c r="F16" s="9"/>
      <c r="G16" s="9" t="s">
        <v>35</v>
      </c>
      <c r="H16" s="9" t="s">
        <v>50</v>
      </c>
      <c r="I16" s="9" t="s">
        <v>54</v>
      </c>
      <c r="J16" s="8">
        <v>2500000</v>
      </c>
    </row>
    <row r="17" spans="6:12" ht="29.25" thickBot="1" x14ac:dyDescent="0.3">
      <c r="F17" s="9"/>
      <c r="G17" s="9" t="s">
        <v>36</v>
      </c>
      <c r="H17" s="9" t="s">
        <v>52</v>
      </c>
      <c r="I17" s="9" t="s">
        <v>34</v>
      </c>
      <c r="J17" s="8">
        <v>500000</v>
      </c>
    </row>
    <row r="18" spans="6:12" ht="43.5" thickBot="1" x14ac:dyDescent="0.3">
      <c r="F18" s="8" t="s">
        <v>37</v>
      </c>
      <c r="G18" s="9" t="s">
        <v>38</v>
      </c>
      <c r="H18" s="9" t="s">
        <v>51</v>
      </c>
      <c r="I18" s="9" t="s">
        <v>39</v>
      </c>
      <c r="J18" s="8">
        <v>2000000</v>
      </c>
    </row>
    <row r="19" spans="6:12" ht="43.5" thickBot="1" x14ac:dyDescent="0.3">
      <c r="F19" s="9"/>
      <c r="G19" s="9" t="s">
        <v>40</v>
      </c>
      <c r="H19" s="9" t="s">
        <v>48</v>
      </c>
      <c r="I19" s="9" t="s">
        <v>39</v>
      </c>
      <c r="J19" s="8">
        <v>500000</v>
      </c>
      <c r="L19">
        <f>SUM(J12:J19)</f>
        <v>11650000</v>
      </c>
    </row>
    <row r="20" spans="6:12" ht="43.5" thickBot="1" x14ac:dyDescent="0.3">
      <c r="F20" s="8" t="s">
        <v>41</v>
      </c>
      <c r="G20" s="9" t="s">
        <v>42</v>
      </c>
      <c r="H20" s="11" t="s">
        <v>31</v>
      </c>
      <c r="I20" s="9" t="s">
        <v>34</v>
      </c>
      <c r="J20" s="8">
        <f>(L19*0.1)</f>
        <v>1165000</v>
      </c>
    </row>
    <row r="21" spans="6:12" ht="15.75" thickBot="1" x14ac:dyDescent="0.3">
      <c r="F21" s="8" t="s">
        <v>43</v>
      </c>
      <c r="G21" s="8" t="s">
        <v>44</v>
      </c>
      <c r="H21" s="9"/>
      <c r="I21" s="9"/>
      <c r="J21" s="10">
        <f>SUM(J12:J20)</f>
        <v>12815000</v>
      </c>
    </row>
    <row r="22" spans="6:12" ht="17.25" x14ac:dyDescent="0.25">
      <c r="F22" s="7" t="s">
        <v>45</v>
      </c>
    </row>
    <row r="24" spans="6:12" x14ac:dyDescent="0.25">
      <c r="F24">
        <f>300000*6</f>
        <v>1800000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MOHAMADOU</dc:creator>
  <cp:lastModifiedBy>Ing MOHAMADOU</cp:lastModifiedBy>
  <dcterms:created xsi:type="dcterms:W3CDTF">2026-06-30T01:43:57Z</dcterms:created>
  <dcterms:modified xsi:type="dcterms:W3CDTF">2026-06-30T20:08:12Z</dcterms:modified>
</cp:coreProperties>
</file>